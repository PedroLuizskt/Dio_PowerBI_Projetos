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BootCamp - Klabin\Klabin - 3 Excel e Copilot\"/>
    </mc:Choice>
  </mc:AlternateContent>
  <xr:revisionPtr revIDLastSave="0" documentId="13_ncr:1_{FAF210AD-FA5A-44E5-BDB5-6C201B27295B}" xr6:coauthVersionLast="47" xr6:coauthVersionMax="47" xr10:uidLastSave="{00000000-0000-0000-0000-000000000000}"/>
  <bookViews>
    <workbookView xWindow="-120" yWindow="-120" windowWidth="20730" windowHeight="11040" tabRatio="23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16" i="3"/>
</calcChain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<sst xmlns="http://schemas.openxmlformats.org/spreadsheetml/2006/main" count="2019" uniqueCount="321">
  <si>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</si>
  <si>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</si>
  <si>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</si>
  <si>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</si>
  <si>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</si>
  <si>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</si>
  <si>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</si>
  <si>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</si>
  <si>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</si>
  <si>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</si>
  <si>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</si>
  <si>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</si>
  <si>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</si>
  <si>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</si>
  <si>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</si>
  <si>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</si>
  <si>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</si>
  <si>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</si>
  <si>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</si>
  <si>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</si>
  <si>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</si>
  <si>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</si>
  <si>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</si>
  <si>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</si>
  <si>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</si>
  <si>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</si>
  <si>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</si>
  <si>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</si>
  <si>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</si>
  <si>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</si>
  <si>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</si>
  <si>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</si>
  <si>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</si>
  <si>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</si>
  <si>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</si>
  <si>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</si>
  <si>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</si>
  <si>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</si>
  <si>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</si>
  <si>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</si>
  <si>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</si>
  <si>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</si>
  <si>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</si>
  <si>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</si>
  <si>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</si>
  <si>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</si>
  <si>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</si>
  <si>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</si>
  <si>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</si>
  <si>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</si>
  <si>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</si>
  <si>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</si>
  <si>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</si>
  <si>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</si>
  <si>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</si>
  <si>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</si>
  <si>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</si>
  <si>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</si>
  <si>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</si>
  <si>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</si>
  <si>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</si>
  <si>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</si>
  <si>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</si>
  <si>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</si>
  <si>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</si>
  <si>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</si>
  <si>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</si>
  <si>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</si>
  <si>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</si>
  <si>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</si>
  <si>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</si>
  <si>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</si>
  <si>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</si>
  <si>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</si>
  <si>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</si>
  <si>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</si>
  <si>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</si>
  <si>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</si>
  <si>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</si>
  <si>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</si>
  <si>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</si>
  <si>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</si>
  <si>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</si>
  <si>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</si>
  <si>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</si>
  <si>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</si>
  <si>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</si>
  <si>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</si>
  <si>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</si>
  <si>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</si>
  <si>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</si>
  <si>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</si>
  <si>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</si>
  <si>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</si>
  <si>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</si>
  <si>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</si>
  <si>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</si>
  <si>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</si>
  <si>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</si>
  <si>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</si>
  <si>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</si>
  <si>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</si>
  <si>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</si>
  <si>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</si>
  <si>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</si>
  <si>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</si>
  <si>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</si>
  <si>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</si>
  <si>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</si>
  <si>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</si>
  <si>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</si>
  <si>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</si>
  <si>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</si>
  <si>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</si>
  <si>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</si>
  <si>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</si>
  <si>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</si>
  <si>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</si>
  <si>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</si>
  <si>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</si>
  <si>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</si>
  <si>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</si>
  <si>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</si>
  <si>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</si>
  <si>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</si>
  <si>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</si>
  <si>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</si>
  <si>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</si>
  <si>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</si>
  <si>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</si>
  <si>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</si>
  <si>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</si>
  <si>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</si>
  <si>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</si>
  <si>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</si>
  <si>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</si>
  <si>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</si>
  <si>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</si>
  <si>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</si>
  <si>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</si>
  <si>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</si>
  <si>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</si>
  <si>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</si>
  <si>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</si>
  <si>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</si>
  <si>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</si>
  <si>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</si>
  <si>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</si>
  <si>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</si>
  <si>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</si>
  <si>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</si>
  <si>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</si>
  <si>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</si>
  <si>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</si>
  <si>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</si>
  <si>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</si>
  <si>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</si>
  <si>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</si>
  <si>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</si>
  <si>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</si>
  <si>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</si>
  <si>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</si>
  <si>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</si>
  <si>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</si>
  <si>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</si>
  <si>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</si>
  <si>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</si>
  <si>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</si>
  <si>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</si>
  <si>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</si>
  <si>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</si>
  <si>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</si>
  <si>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</si>
  <si>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</si>
  <si>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</si>
  <si>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</si>
  <si>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</si>
  <si>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</si>
  <si>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</si>
  <si>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</si>
  <si>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</si>
  <si>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</si>
  <si>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</si>
  <si>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</si>
  <si>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</si>
  <si>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</si>
  <si>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</si>
  <si>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</si>
  <si>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</si>
  <si>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</si>
  <si>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</si>
  <si>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</si>
  <si>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</si>
  <si>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</si>
  <si>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</si>
  <si>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</si>
  <si>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</si>
  <si>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</si>
  <si>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</si>
  <si>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</si>
  <si>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</si>
  <si>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</si>
  <si>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</si>
  <si>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</si>
  <si>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</si>
  <si>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</si>
  <si>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</si>
  <si>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</si>
  <si>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</si>
  <si>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</si>
  <si>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</si>
  <si>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</si>
  <si>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</si>
  <si>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</si>
  <si>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</si>
  <si>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</si>
  <si>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</si>
  <si>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</si>
  <si>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</si>
  <si>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</si>
  <si>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</si>
  <si>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</si>
  <si>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</si>
  <si>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</si>
  <si>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</si>
  <si>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</si>
  <si>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</si>
  <si>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</si>
  <si>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</si>
  <si>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</si>
  <si>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</si>
  <si>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</si>
  <si>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</si>
  <si>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</si>
  <si>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</si>
  <si>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</si>
  <si>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</si>
  <si>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</si>
  <si>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</si>
  <si>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</si>
  <si>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</si>
  <si>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</si>
  <si>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</si>
  <si>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</si>
  <si>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</si>
  <si>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</si>
  <si>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</si>
  <si>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</si>
  <si>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</si>
  <si>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</si>
  <si>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</si>
  <si>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</si>
  <si>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</si>
  <si>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</si>
  <si>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</si>
  <si>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</si>
  <si>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</si>
  <si>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</si>
  <si>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</si>
  <si>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</si>
  <si>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</si>
  <si>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</si>
  <si>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</si>
  <si>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</si>
  <si>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</si>
  <si>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</si>
  <si>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</si>
  <si>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</si>
  <si>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</si>
  <si>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</si>
  <si>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</si>
  <si>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</si>
  <si>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</si>
  <si>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</si>
  <si>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</si>
  <si>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</si>
  <si>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</si>
  <si>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</si>
  <si>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</si>
  <si>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</si>
  <si>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</si>
  <si>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</si>
  <si>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</si>
  <si>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</si>
  <si>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</si>
  <si>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</si>
  <si>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</si>
  <si>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</si>
  <si>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</si>
  <si>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</si>
  <si>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</si>
  <si>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</si>
  <si>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</si>
  <si>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</si>
  <si>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</si>
  <si>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</si>
  <si>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</si>
  <si>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</si>
  <si>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</si>
  <si>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</si>
  <si>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</si>
  <si>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</si>
  <si>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</si>
  <si>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</si>
  <si>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</si>
  <si>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</si>
  <si>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</si>
  <si>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</si>
  <si>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</si>
  <si>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</si>
  <si>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</si>
  <si>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</si>
  <si>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</si>
  <si>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</si>
  <si>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</si>
  <si>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</si>
  <si>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GAMEPASS SUBSCRIPTIONS SALES</t>
  </si>
  <si>
    <t>Soma de EA Play Season Pass</t>
  </si>
  <si>
    <t>Soma de Minecraft Season Pass Price</t>
  </si>
  <si>
    <t>Bem Vinda Liana</t>
  </si>
  <si>
    <t>Calculate Period: 07/10 - Update: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</si>
</sst>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5">
    <dxf>
      <fill>
        <patternFill>
          <bgColor theme="6" tint="0.5999633777886288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1" xr9:uid="{230C4999-269C-43C0-B9F8-FFB7D6D0B396}">
      <tableStyleElement type="wholeTable" dxfId="0"/>
    </tableStyle>
  </tableStyles>
  <colors>
    <mruColors>
      <color rgb="FF22C55E"/>
      <color rgb="FFF7F8FC"/>
      <color rgb="FF2AE6B1"/>
      <color rgb="FF5BF6A8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6.8225228951398292E-2"/>
          <c:y val="0.13085105601160735"/>
          <c:w val="0.90073740527322488"/>
          <c:h val="0.674935614965435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79-4E14-A724-FB125C7BF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79-4E14-A724-FB125C7BF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1984735"/>
        <c:axId val="2092004415"/>
      </c:barChart>
      <c:catAx>
        <c:axId val="209198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2004415"/>
        <c:crosses val="autoZero"/>
        <c:auto val="1"/>
        <c:lblAlgn val="ctr"/>
        <c:lblOffset val="100"/>
        <c:noMultiLvlLbl val="0"/>
      </c:catAx>
      <c:valAx>
        <c:axId val="20920044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0919847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1238252</xdr:colOff>
      <xdr:row>1</xdr:row>
      <xdr:rowOff>14067</xdr:rowOff>
    </xdr:from>
    <xdr:to>
      <xdr:col>0</xdr:col>
      <xdr:colOff>1678782</xdr:colOff>
      <xdr:row>1</xdr:row>
      <xdr:rowOff>548044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D17E394-DBDA-0238-E93B-EF171BC38B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r="68270" b="-2027"/>
        <a:stretch>
          <a:fillRect/>
        </a:stretch>
      </xdr:blipFill>
      <xdr:spPr>
        <a:xfrm>
          <a:off x="1238252" y="204567"/>
          <a:ext cx="440530" cy="533977"/>
        </a:xfrm>
        <a:prstGeom prst="rect">
          <a:avLst/>
        </a:prstGeom>
      </xdr:spPr>
    </xdr:pic>
    <xdr:clientData/>
  </xdr:twoCellAnchor>
  <xdr:twoCellAnchor editAs="oneCell">
    <xdr:from>
      <xdr:col>0</xdr:col>
      <xdr:colOff>59531</xdr:colOff>
      <xdr:row>5</xdr:row>
      <xdr:rowOff>23811</xdr:rowOff>
    </xdr:from>
    <xdr:to>
      <xdr:col>0</xdr:col>
      <xdr:colOff>1888331</xdr:colOff>
      <xdr:row>18</xdr:row>
      <xdr:rowOff>119061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0E3BEABB-30FA-4D9A-B55F-8F8C6EA294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" y="1224789"/>
              <a:ext cx="1828800" cy="2679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190501</xdr:colOff>
      <xdr:row>5</xdr:row>
      <xdr:rowOff>83344</xdr:rowOff>
    </xdr:from>
    <xdr:to>
      <xdr:col>9</xdr:col>
      <xdr:colOff>178595</xdr:colOff>
      <xdr:row>12</xdr:row>
      <xdr:rowOff>76200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91444AE-6FF1-CC3E-79CF-E463F872240D}"/>
            </a:ext>
          </a:extLst>
        </xdr:cNvPr>
        <xdr:cNvGrpSpPr/>
      </xdr:nvGrpSpPr>
      <xdr:grpSpPr>
        <a:xfrm>
          <a:off x="2335697" y="1284322"/>
          <a:ext cx="4278485" cy="1434030"/>
          <a:chOff x="2274094" y="1059656"/>
          <a:chExt cx="3286125" cy="1421606"/>
        </a:xfrm>
      </xdr:grpSpPr>
      <xdr:sp macro="" textlink="C̳álculos!E16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19CA0D94-5A00-86B0-C402-7D7A191F3133}"/>
              </a:ext>
            </a:extLst>
          </xdr:cNvPr>
          <xdr:cNvSpPr/>
        </xdr:nvSpPr>
        <xdr:spPr>
          <a:xfrm>
            <a:off x="2274094" y="1083468"/>
            <a:ext cx="3286125" cy="1095375"/>
          </a:xfrm>
          <a:prstGeom prst="roundRect">
            <a:avLst/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6777E7E5-CA2C-48CE-89DB-054685E4F3BF}" type="TxLink">
              <a:rPr lang="en-US" sz="2400" b="0" i="0" u="none" strike="noStrike">
                <a:solidFill>
                  <a:srgbClr val="000000"/>
                </a:solidFill>
                <a:latin typeface="Aptos Narrow"/>
              </a:rPr>
              <a:pPr algn="r"/>
              <a:t>R$ 990.00</a:t>
            </a:fld>
            <a:endParaRPr lang="pt-BR" sz="2400"/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20C83A6D-1A85-4860-8221-770F710B65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14625" y="1262062"/>
            <a:ext cx="1219200" cy="1219200"/>
          </a:xfrm>
          <a:prstGeom prst="rect">
            <a:avLst/>
          </a:prstGeom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0360F395-7CE9-376F-C553-E470A0FCAFC6}"/>
              </a:ext>
            </a:extLst>
          </xdr:cNvPr>
          <xdr:cNvSpPr/>
        </xdr:nvSpPr>
        <xdr:spPr>
          <a:xfrm>
            <a:off x="2286000" y="1059656"/>
            <a:ext cx="3274219" cy="32146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SUBSCRPITIONS EA SEASON PASS</a:t>
            </a:r>
            <a:r>
              <a:rPr lang="pt-BR" sz="1100" b="1"/>
              <a:t> </a:t>
            </a:r>
          </a:p>
        </xdr:txBody>
      </xdr:sp>
    </xdr:grpSp>
    <xdr:clientData/>
  </xdr:twoCellAnchor>
  <xdr:twoCellAnchor>
    <xdr:from>
      <xdr:col>9</xdr:col>
      <xdr:colOff>256760</xdr:colOff>
      <xdr:row>5</xdr:row>
      <xdr:rowOff>107157</xdr:rowOff>
    </xdr:from>
    <xdr:to>
      <xdr:col>16</xdr:col>
      <xdr:colOff>472109</xdr:colOff>
      <xdr:row>10</xdr:row>
      <xdr:rowOff>178594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674425DE-CA80-8DB2-F027-CE2593B61F62}"/>
            </a:ext>
          </a:extLst>
        </xdr:cNvPr>
        <xdr:cNvGrpSpPr/>
      </xdr:nvGrpSpPr>
      <xdr:grpSpPr>
        <a:xfrm>
          <a:off x="6692347" y="1308135"/>
          <a:ext cx="4331805" cy="1131611"/>
          <a:chOff x="6032557" y="1071563"/>
          <a:chExt cx="3334758" cy="1119187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615A027C-6A67-4A59-B8F0-8A8775657777}"/>
              </a:ext>
            </a:extLst>
          </xdr:cNvPr>
          <xdr:cNvGrpSpPr/>
        </xdr:nvGrpSpPr>
        <xdr:grpSpPr>
          <a:xfrm>
            <a:off x="6032557" y="1071563"/>
            <a:ext cx="3334758" cy="1119187"/>
            <a:chOff x="2234464" y="1059656"/>
            <a:chExt cx="3334758" cy="1119187"/>
          </a:xfrm>
        </xdr:grpSpPr>
        <xdr:sp macro="" textlink="C̳álculos!E26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6B73FDD8-3A73-6A79-B077-81643A506E00}"/>
                </a:ext>
              </a:extLst>
            </xdr:cNvPr>
            <xdr:cNvSpPr/>
          </xdr:nvSpPr>
          <xdr:spPr>
            <a:xfrm>
              <a:off x="2274094" y="1083468"/>
              <a:ext cx="3286125" cy="1095375"/>
            </a:xfrm>
            <a:prstGeom prst="roundRect">
              <a:avLst/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r"/>
              <a:fld id="{5CEE9D82-69AE-40FD-B556-4818E7AE555B}" type="TxLink">
                <a:rPr lang="en-US" sz="2800" b="0" i="0" u="none" strike="noStrike">
                  <a:solidFill>
                    <a:srgbClr val="000000"/>
                  </a:solidFill>
                  <a:latin typeface="Aptos Narrow"/>
                </a:rPr>
                <a:t>R$ 1,140.00</a:t>
              </a:fld>
              <a:endParaRPr lang="pt-BR" sz="5400"/>
            </a:p>
          </xdr:txBody>
        </xdr:sp>
        <xdr:sp macro="" textlink="">
          <xdr:nvSpPr>
            <xdr:cNvPr id="13" name="Retângulo: Cantos Superiores Arredondados 12">
              <a:extLst>
                <a:ext uri="{FF2B5EF4-FFF2-40B4-BE49-F238E27FC236}">
                  <a16:creationId xmlns:a16="http://schemas.microsoft.com/office/drawing/2014/main" id="{06D0B5FF-B3B0-6DE2-1886-42504777BCF1}"/>
                </a:ext>
              </a:extLst>
            </xdr:cNvPr>
            <xdr:cNvSpPr/>
          </xdr:nvSpPr>
          <xdr:spPr>
            <a:xfrm>
              <a:off x="2234464" y="1059656"/>
              <a:ext cx="3334758" cy="333374"/>
            </a:xfrm>
            <a:prstGeom prst="round2SameRect">
              <a:avLst>
                <a:gd name="adj1" fmla="val 16667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100" b="1"/>
                <a:t>TOTAL</a:t>
              </a:r>
              <a:r>
                <a:rPr lang="pt-BR" sz="1100" b="1" baseline="0"/>
                <a:t> SUBSCRPITIONS MINECRAFT SEASON PASS</a:t>
              </a:r>
              <a:r>
                <a:rPr lang="pt-BR" sz="1100" b="1"/>
                <a:t> </a:t>
              </a:r>
            </a:p>
          </xdr:txBody>
        </xdr:sp>
      </xdr:grp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206A1FAA-E096-4FE0-BD7E-8C5DED0C3B3E}"/>
              </a:ext>
            </a:extLst>
          </xdr:cNvPr>
          <xdr:cNvGrpSpPr/>
        </xdr:nvGrpSpPr>
        <xdr:grpSpPr>
          <a:xfrm>
            <a:off x="6131719" y="1512093"/>
            <a:ext cx="1333500" cy="502445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1CF419F7-DECD-F9C6-75B8-A78066406A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2E16FFA4-A005-31E0-D6E3-28024E11ED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249322</xdr:colOff>
      <xdr:row>11</xdr:row>
      <xdr:rowOff>142875</xdr:rowOff>
    </xdr:from>
    <xdr:to>
      <xdr:col>16</xdr:col>
      <xdr:colOff>559593</xdr:colOff>
      <xdr:row>22</xdr:row>
      <xdr:rowOff>166685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A78BD12-51D3-63AD-4AA4-153FE2687C9B}"/>
            </a:ext>
          </a:extLst>
        </xdr:cNvPr>
        <xdr:cNvGrpSpPr/>
      </xdr:nvGrpSpPr>
      <xdr:grpSpPr>
        <a:xfrm>
          <a:off x="2394518" y="2594527"/>
          <a:ext cx="8717118" cy="2119310"/>
          <a:chOff x="2214562" y="2643187"/>
          <a:chExt cx="6978306" cy="2384224"/>
        </a:xfrm>
      </xdr:grpSpPr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AEF5A00D-2151-4747-8B66-DE3DD9AE5CD9}"/>
              </a:ext>
            </a:extLst>
          </xdr:cNvPr>
          <xdr:cNvGraphicFramePr>
            <a:graphicFrameLocks/>
          </xdr:cNvGraphicFramePr>
        </xdr:nvGraphicFramePr>
        <xdr:xfrm>
          <a:off x="2225329" y="2884288"/>
          <a:ext cx="6967539" cy="21431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AE2EDA46-C036-FA7E-2E90-598E8A4CF3A4}"/>
              </a:ext>
            </a:extLst>
          </xdr:cNvPr>
          <xdr:cNvSpPr/>
        </xdr:nvSpPr>
        <xdr:spPr>
          <a:xfrm>
            <a:off x="2214562" y="2643187"/>
            <a:ext cx="6965778" cy="321469"/>
          </a:xfrm>
          <a:prstGeom prst="round2SameRect">
            <a:avLst>
              <a:gd name="adj1" fmla="val 1282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</a:t>
            </a:r>
            <a:r>
              <a:rPr lang="pt-BR" sz="1100" baseline="0"/>
              <a:t> SUBSCRIPTIONS XBOX GAME PASS</a:t>
            </a:r>
            <a:endParaRPr lang="pt-BR" sz="1100"/>
          </a:p>
        </xdr:txBody>
      </xdr:sp>
    </xdr:grpSp>
    <xdr:clientData/>
  </xdr:twoCellAnchor>
  <xdr:twoCellAnchor>
    <xdr:from>
      <xdr:col>0</xdr:col>
      <xdr:colOff>166688</xdr:colOff>
      <xdr:row>0</xdr:row>
      <xdr:rowOff>119062</xdr:rowOff>
    </xdr:from>
    <xdr:to>
      <xdr:col>0</xdr:col>
      <xdr:colOff>862013</xdr:colOff>
      <xdr:row>2</xdr:row>
      <xdr:rowOff>4762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AEE4DFF8-90AD-4289-89F5-18A146B6EB3D}"/>
            </a:ext>
          </a:extLst>
        </xdr:cNvPr>
        <xdr:cNvSpPr/>
      </xdr:nvSpPr>
      <xdr:spPr>
        <a:xfrm>
          <a:off x="166688" y="119062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Luiz" refreshedDate="45937.785287615741" createdVersion="8" refreshedVersion="8" minRefreshableVersion="3" recordCount="295" xr:uid="{4AE44AA2-F816-4853-BAF0-1FCAA335E25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573635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9D443-D798-4B7D-8CC9-E4FC1EBFD18E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F7177-81D6-4472-A557-56C9DC178590}" name="tbl_EAPLAY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2:C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A75A6-31C9-486C-BFD3-CECCA6ED97E5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3BD4B19-D872-4FEC-9571-D3A6132E7346}" sourceName="Subscription Type">
  <pivotTables>
    <pivotTable tabId="3" name="tbl_annual_total"/>
    <pivotTable tabId="3" name="tbl_EAPLAY"/>
    <pivotTable tabId="3" name="Tabela dinâmica3"/>
  </pivotTables>
  <data>
    <tabular pivotCacheId="195736353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D259E9B-B17B-4493-9C4A-5614145875A4}" cache="SegmentaçãodeDados_Subscription_Type" caption="Subscription Type" style="Estilo de Segmentação de Dados 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D8" sqref="D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47" sqref="D4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26"/>
  <sheetViews>
    <sheetView showGridLines="0" topLeftCell="A10" workbookViewId="0">
      <selection activeCell="C23" sqref="C2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0.71093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5" x14ac:dyDescent="0.25">
      <c r="B2" s="12" t="s">
        <v>16</v>
      </c>
      <c r="C2" t="s">
        <v>27</v>
      </c>
    </row>
    <row r="4" spans="2:5" x14ac:dyDescent="0.25">
      <c r="B4" s="12" t="s">
        <v>313</v>
      </c>
      <c r="C4" t="s">
        <v>315</v>
      </c>
    </row>
    <row r="5" spans="2:5" x14ac:dyDescent="0.25">
      <c r="B5" s="13" t="s">
        <v>23</v>
      </c>
      <c r="C5" s="14">
        <v>806</v>
      </c>
    </row>
    <row r="6" spans="2:5" x14ac:dyDescent="0.25">
      <c r="B6" s="13" t="s">
        <v>19</v>
      </c>
      <c r="C6" s="14">
        <v>1502</v>
      </c>
    </row>
    <row r="7" spans="2:5" x14ac:dyDescent="0.25">
      <c r="B7" s="13" t="s">
        <v>314</v>
      </c>
      <c r="C7" s="14">
        <v>2308</v>
      </c>
    </row>
    <row r="10" spans="2:5" x14ac:dyDescent="0.25">
      <c r="B10" s="12" t="s">
        <v>16</v>
      </c>
      <c r="C10" t="s">
        <v>27</v>
      </c>
    </row>
    <row r="12" spans="2:5" x14ac:dyDescent="0.25">
      <c r="B12" s="12" t="s">
        <v>313</v>
      </c>
      <c r="C12" t="s">
        <v>317</v>
      </c>
    </row>
    <row r="13" spans="2:5" x14ac:dyDescent="0.25">
      <c r="B13" s="13" t="s">
        <v>22</v>
      </c>
      <c r="C13" s="16">
        <v>0</v>
      </c>
    </row>
    <row r="14" spans="2:5" x14ac:dyDescent="0.25">
      <c r="B14" s="13" t="s">
        <v>26</v>
      </c>
      <c r="C14" s="16">
        <v>0</v>
      </c>
    </row>
    <row r="15" spans="2:5" x14ac:dyDescent="0.25">
      <c r="B15" s="13" t="s">
        <v>18</v>
      </c>
      <c r="C15" s="16">
        <v>990</v>
      </c>
    </row>
    <row r="16" spans="2:5" x14ac:dyDescent="0.25">
      <c r="B16" s="13" t="s">
        <v>314</v>
      </c>
      <c r="C16" s="16">
        <v>990</v>
      </c>
      <c r="E16" s="17">
        <f>GETPIVOTDATA("EA Play Season Pass
Price",$B$12)</f>
        <v>990</v>
      </c>
    </row>
    <row r="20" spans="2:5" x14ac:dyDescent="0.25">
      <c r="B20" s="12" t="s">
        <v>16</v>
      </c>
      <c r="C20" t="s">
        <v>27</v>
      </c>
    </row>
    <row r="22" spans="2:5" x14ac:dyDescent="0.25">
      <c r="B22" s="12" t="s">
        <v>313</v>
      </c>
      <c r="C22" t="s">
        <v>318</v>
      </c>
    </row>
    <row r="23" spans="2:5" x14ac:dyDescent="0.25">
      <c r="B23" s="13" t="s">
        <v>22</v>
      </c>
      <c r="C23" s="14">
        <v>0</v>
      </c>
    </row>
    <row r="24" spans="2:5" x14ac:dyDescent="0.25">
      <c r="B24" s="13" t="s">
        <v>26</v>
      </c>
      <c r="C24" s="14">
        <v>480</v>
      </c>
    </row>
    <row r="25" spans="2:5" x14ac:dyDescent="0.25">
      <c r="B25" s="13" t="s">
        <v>18</v>
      </c>
      <c r="C25" s="14">
        <v>660</v>
      </c>
    </row>
    <row r="26" spans="2:5" x14ac:dyDescent="0.25">
      <c r="B26" s="13" t="s">
        <v>314</v>
      </c>
      <c r="C26" s="14">
        <v>1140</v>
      </c>
      <c r="E26" s="17">
        <f>GETPIVOTDATA("Minecraft Season Pass Price",$B$22)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8"/>
  <sheetViews>
    <sheetView showGridLines="0" tabSelected="1" zoomScale="115" zoomScaleNormal="115" workbookViewId="0">
      <selection activeCell="N25" sqref="N25"/>
    </sheetView>
  </sheetViews>
  <sheetFormatPr defaultRowHeight="15" x14ac:dyDescent="0.25"/>
  <cols>
    <col min="1" max="1" width="28.5703125" style="4" customWidth="1"/>
    <col min="2" max="2" width="3.5703125" style="15" customWidth="1"/>
    <col min="3" max="11" width="9.140625" style="15"/>
    <col min="12" max="12" width="6.5703125" style="15" customWidth="1"/>
    <col min="13" max="16384" width="9.140625" style="15"/>
  </cols>
  <sheetData>
    <row r="1" spans="1:17" customFormat="1" x14ac:dyDescent="0.25">
      <c r="A1" s="4"/>
    </row>
    <row r="2" spans="1:17" customFormat="1" ht="48.75" customHeight="1" thickBot="1" x14ac:dyDescent="0.35">
      <c r="A2" s="4"/>
      <c r="C2" s="1" t="s">
        <v>316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customFormat="1" ht="11.25" customHeight="1" thickTop="1" x14ac:dyDescent="0.25">
      <c r="A3" s="4"/>
    </row>
    <row r="4" spans="1:17" ht="12" customHeight="1" x14ac:dyDescent="0.25">
      <c r="A4" s="18" t="s">
        <v>319</v>
      </c>
      <c r="D4" s="15" t="s">
        <v>320</v>
      </c>
    </row>
    <row r="5" spans="1:17" ht="7.5" customHeight="1" x14ac:dyDescent="0.25"/>
    <row r="6" spans="1:17" ht="10.5" customHeight="1" x14ac:dyDescent="0.25"/>
    <row r="7" spans="1:17" ht="9.75" customHeight="1" x14ac:dyDescent="0.25"/>
    <row r="8" spans="1:17" ht="33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Luiz</cp:lastModifiedBy>
  <dcterms:created xsi:type="dcterms:W3CDTF">2024-12-19T13:13:10Z</dcterms:created>
  <dcterms:modified xsi:type="dcterms:W3CDTF">2025-10-07T23:12:30Z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